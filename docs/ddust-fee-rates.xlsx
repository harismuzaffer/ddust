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<sst xmlns="http://schemas.openxmlformats.org/spreadsheetml/2006/main" uniqueCount="16">
  <si>
    <t>ddust fee rates</t>
  </si>
  <si>
    <t>Input amount</t>
  </si>
  <si>
    <t>P2PKH</t>
  </si>
  <si>
    <t>P2SH (2-3)</t>
  </si>
  <si>
    <t>P2WPKH</t>
  </si>
  <si>
    <t>P2WSH (2-3)</t>
  </si>
  <si>
    <t>P2TR</t>
  </si>
  <si>
    <t>Overhead (B)</t>
  </si>
  <si>
    <t>Input (B)</t>
  </si>
  <si>
    <t>OP_RETURN  “ash” (B)</t>
  </si>
  <si>
    <t>Base size (B)</t>
  </si>
  <si>
    <t>Witness data (B)</t>
  </si>
  <si>
    <t>Size (B)</t>
  </si>
  <si>
    <t>Weight</t>
  </si>
  <si>
    <t>Virtual Size (vB)</t>
  </si>
  <si>
    <t>Fee rates (sats/vB)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</si>
</sst>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1" fontId="1" fillId="2" borderId="2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1" fontId="1" fillId="2" borderId="3" applyNumberFormat="1" applyFont="1" applyFill="1" applyBorder="1" applyAlignment="1" applyProtection="0">
      <alignment horizontal="center" vertical="center"/>
    </xf>
    <xf numFmtId="1" fontId="0" fillId="2" borderId="4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2" fontId="0" fillId="2" borderId="4" applyNumberFormat="1" applyFont="1" applyFill="1" applyBorder="1" applyAlignment="1" applyProtection="0">
      <alignment vertical="top" wrapText="1"/>
    </xf>
    <xf numFmtId="4" fontId="0" fillId="2" borderId="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8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2812" style="1" customWidth="1"/>
    <col min="2" max="7" width="16.3516" style="1" customWidth="1"/>
    <col min="8" max="16384" width="16.3516" style="1" customWidth="1"/>
  </cols>
  <sheetData>
    <row r="1" ht="27.65" customHeight="1">
      <c r="A1" t="s" s="2">
        <v>0</v>
      </c>
      <c r="B1" s="3"/>
      <c r="C1" s="4"/>
      <c r="D1" s="4"/>
      <c r="E1" s="4"/>
      <c r="F1" s="3"/>
      <c r="G1" s="5"/>
    </row>
    <row r="2" ht="20.25" customHeight="1">
      <c r="A2" s="6"/>
      <c r="B2" t="s" s="7">
        <v>1</v>
      </c>
      <c r="C2" t="s" s="7">
        <v>2</v>
      </c>
      <c r="D2" t="s" s="7">
        <v>3</v>
      </c>
      <c r="E2" t="s" s="7">
        <v>4</v>
      </c>
      <c r="F2" t="s" s="7">
        <v>5</v>
      </c>
      <c r="G2" t="s" s="7">
        <v>6</v>
      </c>
    </row>
    <row r="3" ht="20.25" customHeight="1">
      <c r="A3" t="s" s="7">
        <v>7</v>
      </c>
      <c r="B3" s="8"/>
      <c r="C3" s="8">
        <v>10</v>
      </c>
      <c r="D3" s="8">
        <v>10</v>
      </c>
      <c r="E3" s="8">
        <v>10</v>
      </c>
      <c r="F3" s="8">
        <v>10</v>
      </c>
      <c r="G3" s="8">
        <v>10</v>
      </c>
    </row>
    <row r="4" ht="20.05" customHeight="1">
      <c r="A4" t="s" s="7">
        <v>8</v>
      </c>
      <c r="B4" s="8"/>
      <c r="C4" s="8">
        <v>147</v>
      </c>
      <c r="D4" s="8">
        <v>293</v>
      </c>
      <c r="E4" s="8">
        <v>41</v>
      </c>
      <c r="F4" s="8">
        <v>41</v>
      </c>
      <c r="G4" s="8">
        <v>41</v>
      </c>
    </row>
    <row r="5" ht="20.05" customHeight="1">
      <c r="A5" t="s" s="7">
        <v>9</v>
      </c>
      <c r="B5" s="8"/>
      <c r="C5" s="8">
        <v>14</v>
      </c>
      <c r="D5" s="8">
        <v>14</v>
      </c>
      <c r="E5" s="8">
        <v>14</v>
      </c>
      <c r="F5" s="8">
        <v>14</v>
      </c>
      <c r="G5" s="8">
        <v>14</v>
      </c>
    </row>
    <row r="6" ht="20.05" customHeight="1">
      <c r="A6" t="s" s="7">
        <v>10</v>
      </c>
      <c r="B6" s="8"/>
      <c r="C6" s="8" cm="1">
        <f t="array" ref="C6">SUM(C3:C5)</f>
        <v>171</v>
      </c>
      <c r="D6" s="8" cm="1">
        <f t="array" ref="D6">SUM(D3:D5)</f>
        <v>317</v>
      </c>
      <c r="E6" s="8" cm="1">
        <f t="array" ref="E6">SUM(E3:E5)</f>
        <v>65</v>
      </c>
      <c r="F6" s="8" cm="1">
        <f t="array" ref="F6">SUM(F3:F5)</f>
        <v>65</v>
      </c>
      <c r="G6" s="8" cm="1">
        <f t="array" ref="G6">SUM(G3:G5)</f>
        <v>65</v>
      </c>
    </row>
    <row r="7" ht="20.05" customHeight="1">
      <c r="A7" t="s" s="7">
        <v>11</v>
      </c>
      <c r="B7" s="8"/>
      <c r="C7" s="8">
        <v>0</v>
      </c>
      <c r="D7" s="8">
        <v>0</v>
      </c>
      <c r="E7" s="8">
        <v>107</v>
      </c>
      <c r="F7" s="8">
        <v>252</v>
      </c>
      <c r="G7" s="8">
        <v>67</v>
      </c>
    </row>
    <row r="8" ht="20.05" customHeight="1">
      <c r="A8" t="s" s="7">
        <v>12</v>
      </c>
      <c r="B8" s="8"/>
      <c r="C8" s="8" cm="1">
        <f t="array" ref="C8">SUM(C6:C7)</f>
        <v>171</v>
      </c>
      <c r="D8" s="8" cm="1">
        <f t="array" ref="D8">SUM(D6:D7)</f>
        <v>317</v>
      </c>
      <c r="E8" s="8" cm="1">
        <f t="array" ref="E8">SUM(E6:E7)</f>
        <v>172</v>
      </c>
      <c r="F8" s="8" cm="1">
        <f t="array" ref="F8">SUM(F6:F7)</f>
        <v>317</v>
      </c>
      <c r="G8" s="8" cm="1">
        <f t="array" ref="G8">SUM(G6:G7)</f>
        <v>132</v>
      </c>
    </row>
    <row r="9" ht="20.05" customHeight="1">
      <c r="A9" t="s" s="7">
        <v>13</v>
      </c>
      <c r="B9" s="8"/>
      <c r="C9" s="8" cm="1">
        <f t="array" ref="C9">C6*4</f>
        <v>684</v>
      </c>
      <c r="D9" s="8" cm="1">
        <f t="array" ref="D9">D6*4</f>
        <v>1268</v>
      </c>
      <c r="E9" s="8" cm="1">
        <f t="array" ref="E9">(E6*4)+E7+2</f>
        <v>369</v>
      </c>
      <c r="F9" s="8" cm="1">
        <f t="array" ref="F9">(F6*4)+F7+2</f>
        <v>514</v>
      </c>
      <c r="G9" s="8" cm="1">
        <f t="array" ref="G9">(G6*4)+G7+2</f>
        <v>329</v>
      </c>
    </row>
    <row r="10" ht="20.05" customHeight="1">
      <c r="A10" t="s" s="7">
        <v>14</v>
      </c>
      <c r="B10" s="8"/>
      <c r="C10" s="8" cm="1">
        <f t="array" ref="C10">C9/4</f>
        <v>171</v>
      </c>
      <c r="D10" s="8" cm="1">
        <f t="array" ref="D10">D9/4</f>
        <v>317</v>
      </c>
      <c r="E10" s="8" cm="1">
        <f t="array" ref="E10">E9/4</f>
        <v>92.25</v>
      </c>
      <c r="F10" s="8" cm="1">
        <f t="array" ref="F10">F9/4</f>
        <v>128.5</v>
      </c>
      <c r="G10" s="8" cm="1">
        <f t="array" ref="G10">G9/4</f>
        <v>82.25</v>
      </c>
    </row>
    <row r="11" ht="20.05" customHeight="1">
      <c r="A11" s="6"/>
      <c r="B11" s="8"/>
      <c r="C11" s="8"/>
      <c r="D11" s="8"/>
      <c r="E11" s="8"/>
      <c r="F11" s="8"/>
      <c r="G11" s="8"/>
    </row>
    <row r="12" ht="20.05" customHeight="1">
      <c r="A12" t="s" s="7">
        <v>15</v>
      </c>
      <c r="B12" s="8"/>
      <c r="C12" s="8"/>
      <c r="D12" s="8"/>
      <c r="E12" s="8"/>
      <c r="F12" s="8"/>
      <c r="G12" s="8"/>
    </row>
    <row r="13" ht="20.05" customHeight="1">
      <c r="A13" s="6"/>
      <c r="B13" s="8">
        <v>294</v>
      </c>
      <c r="C13" s="8" cm="1">
        <f t="array" ref="C13">$B13/ROUND(C$10,2)</f>
        <v>1.71929824561404</v>
      </c>
      <c r="D13" s="8" cm="1">
        <f t="array" ref="D13">$B13/ROUND(D$10,2)</f>
        <v>0.927444794952681</v>
      </c>
      <c r="E13" s="8" cm="1">
        <f t="array" ref="E13">$B13/ROUND(E$10,2)</f>
        <v>3.1869918699187</v>
      </c>
      <c r="F13" s="8" cm="1">
        <f t="array" ref="F13">$B13/ROUND(F$10,2)</f>
        <v>2.28793774319066</v>
      </c>
      <c r="G13" s="8" cm="1">
        <f t="array" ref="G13">$B13/ROUND(G$10,2)</f>
        <v>3.57446808510638</v>
      </c>
    </row>
    <row r="14" ht="20.05" customHeight="1">
      <c r="A14" s="6"/>
      <c r="B14" s="8">
        <v>300</v>
      </c>
      <c r="C14" s="8" cm="1">
        <f t="array" ref="C14">$B14/ROUND(C$10,2)</f>
        <v>1.75438596491228</v>
      </c>
      <c r="D14" s="8" cm="1">
        <f t="array" ref="D14">$B14/ROUND(D$10,2)</f>
        <v>0.946372239747634</v>
      </c>
      <c r="E14" s="8" cm="1">
        <f t="array" ref="E14">$B14/ROUND(E$10,2)</f>
        <v>3.2520325203252</v>
      </c>
      <c r="F14" s="8" cm="1">
        <f t="array" ref="F14">$B14/ROUND(F$10,2)</f>
        <v>2.33463035019455</v>
      </c>
      <c r="G14" s="8" cm="1">
        <f t="array" ref="G14">$B14/ROUND(G$10,2)</f>
        <v>3.64741641337386</v>
      </c>
    </row>
    <row r="15" ht="20.05" customHeight="1">
      <c r="A15" s="6"/>
      <c r="B15" s="8">
        <v>325</v>
      </c>
      <c r="C15" s="8" cm="1">
        <f t="array" ref="C15">$B15/ROUND(C$10,2)</f>
        <v>1.90058479532164</v>
      </c>
      <c r="D15" s="8" cm="1">
        <f t="array" ref="D15">$B15/ROUND(D$10,2)</f>
        <v>1.02523659305994</v>
      </c>
      <c r="E15" s="8" cm="1">
        <f t="array" ref="E15">$B15/ROUND(E$10,2)</f>
        <v>3.5230352303523</v>
      </c>
      <c r="F15" s="8" cm="1">
        <f t="array" ref="F15">$B15/ROUND(F$10,2)</f>
        <v>2.52918287937743</v>
      </c>
      <c r="G15" s="8" cm="1">
        <f t="array" ref="G15">$B15/ROUND(G$10,2)</f>
        <v>3.95136778115502</v>
      </c>
    </row>
    <row r="16" ht="20.05" customHeight="1">
      <c r="A16" s="6"/>
      <c r="B16" s="8">
        <v>330</v>
      </c>
      <c r="C16" s="8" cm="1">
        <f t="array" ref="C16">$B16/ROUND(C$10,2)</f>
        <v>1.92982456140351</v>
      </c>
      <c r="D16" s="8" cm="1">
        <f t="array" ref="D16">$B16/ROUND(D$10,2)</f>
        <v>1.0410094637224</v>
      </c>
      <c r="E16" s="8" cm="1">
        <f t="array" ref="E16">$B16/ROUND(E$10,2)</f>
        <v>3.57723577235772</v>
      </c>
      <c r="F16" s="8" cm="1">
        <f t="array" ref="F16">$B16/ROUND(F$10,2)</f>
        <v>2.56809338521401</v>
      </c>
      <c r="G16" s="8" cm="1">
        <f t="array" ref="G16">$B16/ROUND(G$10,2)</f>
        <v>4.01215805471125</v>
      </c>
    </row>
    <row r="17" ht="20.05" customHeight="1">
      <c r="A17" s="6"/>
      <c r="B17" s="8"/>
      <c r="C17" s="8"/>
      <c r="D17" s="8"/>
      <c r="E17" s="8"/>
      <c r="F17" s="8"/>
      <c r="G17" s="9"/>
    </row>
    <row r="18" ht="20.05" customHeight="1">
      <c r="A18" s="6"/>
      <c r="B18" s="8"/>
      <c r="C18" s="8"/>
      <c r="D18" s="8"/>
      <c r="E18" s="8"/>
      <c r="F18" s="8"/>
      <c r="G18" s="9"/>
    </row>
    <row r="19" ht="20.05" customHeight="1">
      <c r="A19" s="6"/>
      <c r="B19" s="8"/>
      <c r="C19" s="8"/>
      <c r="D19" s="8"/>
      <c r="E19" s="8"/>
      <c r="F19" s="8"/>
      <c r="G19" s="9"/>
    </row>
    <row r="20" ht="20.05" customHeight="1">
      <c r="A20" s="6"/>
      <c r="B20" s="8"/>
      <c r="C20" s="8"/>
      <c r="D20" s="8"/>
      <c r="E20" s="8"/>
      <c r="F20" s="8"/>
      <c r="G20" s="9"/>
    </row>
    <row r="21" ht="20.05" customHeight="1">
      <c r="A21" s="6"/>
      <c r="B21" s="8"/>
      <c r="C21" s="8"/>
      <c r="D21" s="8"/>
      <c r="E21" s="8"/>
      <c r="F21" s="8"/>
      <c r="G21" s="9"/>
    </row>
    <row r="22" ht="20.05" customHeight="1">
      <c r="A22" s="6"/>
      <c r="B22" s="8"/>
      <c r="C22" s="8"/>
      <c r="D22" s="8"/>
      <c r="E22" s="8"/>
      <c r="F22" s="8"/>
      <c r="G22" s="9"/>
    </row>
    <row r="23" ht="20.05" customHeight="1">
      <c r="A23" s="6"/>
      <c r="B23" s="8"/>
      <c r="C23" s="8"/>
      <c r="D23" s="8"/>
      <c r="E23" s="8"/>
      <c r="F23" s="8"/>
      <c r="G23" s="9"/>
    </row>
    <row r="24" ht="20.05" customHeight="1">
      <c r="A24" s="6"/>
      <c r="B24" s="8"/>
      <c r="C24" s="8"/>
      <c r="D24" s="8"/>
      <c r="E24" s="8"/>
      <c r="F24" s="8"/>
      <c r="G24" s="9"/>
    </row>
    <row r="25" ht="20.05" customHeight="1">
      <c r="A25" s="6"/>
      <c r="B25" s="8"/>
      <c r="C25" s="8"/>
      <c r="D25" s="8"/>
      <c r="E25" s="8"/>
      <c r="F25" s="8"/>
      <c r="G25" s="9"/>
    </row>
    <row r="26" ht="20.05" customHeight="1">
      <c r="A26" s="6"/>
      <c r="B26" s="8"/>
      <c r="C26" s="8"/>
      <c r="D26" s="8"/>
      <c r="E26" s="8"/>
      <c r="F26" s="8"/>
      <c r="G26" s="9"/>
    </row>
    <row r="27" ht="20.05" customHeight="1">
      <c r="A27" s="6"/>
      <c r="B27" s="8"/>
      <c r="C27" s="8"/>
      <c r="D27" s="8"/>
      <c r="E27" s="8"/>
      <c r="F27" s="8"/>
      <c r="G27" s="9"/>
    </row>
    <row r="28" ht="20.05" customHeight="1">
      <c r="A28" s="6"/>
      <c r="B28" s="8"/>
      <c r="C28" s="8"/>
      <c r="D28" s="8"/>
      <c r="E28" s="8"/>
      <c r="F28" s="8"/>
      <c r="G28" s="9"/>
    </row>
  </sheetData>
  <mergeCells count="1">
    <mergeCell ref="A1:G1"/>
  </mergeCells>
  <pageMargins left="0.5" right="0.5" top="0.75" bottom="0.75" header="0.511811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